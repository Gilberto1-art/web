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berto\OneDrive\Documentos\"/>
    </mc:Choice>
  </mc:AlternateContent>
  <xr:revisionPtr revIDLastSave="0" documentId="10_ncr:0_{B7861C2D-2A6D-4A65-916A-DCFA57164661}" xr6:coauthVersionLast="36" xr6:coauthVersionMax="36" xr10:uidLastSave="{00000000-0000-0000-0000-000000000000}"/>
  <bookViews>
    <workbookView xWindow="0" yWindow="0" windowWidth="20490" windowHeight="7425" xr2:uid="{E6E6071B-16B7-402A-A8DF-2B18E341C4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1" l="1"/>
  <c r="C47" i="1"/>
  <c r="D41" i="1"/>
  <c r="C41" i="1"/>
  <c r="D10" i="1"/>
  <c r="D18" i="1"/>
  <c r="D22" i="1"/>
  <c r="D29" i="1"/>
  <c r="D36" i="1"/>
  <c r="C36" i="1"/>
  <c r="C29" i="1"/>
  <c r="C22" i="1"/>
  <c r="C18" i="1"/>
  <c r="C8" i="1"/>
  <c r="C7" i="1"/>
  <c r="C6" i="1"/>
  <c r="D12" i="1" s="1"/>
  <c r="C5" i="1"/>
  <c r="C4" i="1"/>
  <c r="D11" i="1" s="1"/>
  <c r="C14" i="1" l="1"/>
  <c r="D13" i="1" s="1"/>
  <c r="D14" i="1" s="1"/>
</calcChain>
</file>

<file path=xl/sharedStrings.xml><?xml version="1.0" encoding="utf-8"?>
<sst xmlns="http://schemas.openxmlformats.org/spreadsheetml/2006/main" count="44" uniqueCount="39">
  <si>
    <t>28/02/025</t>
  </si>
  <si>
    <t xml:space="preserve">SUELDOS DE VENTA </t>
  </si>
  <si>
    <t xml:space="preserve">SUELDOS DE ADMINISTRACION </t>
  </si>
  <si>
    <t xml:space="preserve">CUOTAS DE PAT. DE VENTAS </t>
  </si>
  <si>
    <t xml:space="preserve">CUOTAS DE PAT. DE ADMINISTRACION </t>
  </si>
  <si>
    <t xml:space="preserve">PRESTACIONES LABORALES DE VENTAS </t>
  </si>
  <si>
    <t xml:space="preserve">PRESTACIONES LABORALES DE ADMINISTRACION </t>
  </si>
  <si>
    <t xml:space="preserve">BONIFICACION INCENTICO DE VENTAS </t>
  </si>
  <si>
    <t xml:space="preserve">BONIFICACION DE INCENTIVO DE ADMINISTRACION </t>
  </si>
  <si>
    <t xml:space="preserve">CAJA Y BANCOS </t>
  </si>
  <si>
    <t xml:space="preserve">PAGO DE SUELDOS DEL MES DE FEBRERIO DE 2025 </t>
  </si>
  <si>
    <t xml:space="preserve">     IGSS POR PAGAR </t>
  </si>
  <si>
    <t xml:space="preserve">     CUITOAS PATRONALES POR PAGAR </t>
  </si>
  <si>
    <t xml:space="preserve">      PROVISION PRESTACIONES LABORALES </t>
  </si>
  <si>
    <t xml:space="preserve">      CAJA Y BANCOS </t>
  </si>
  <si>
    <t>CUENTA PARTICULAR LÓPEZ</t>
  </si>
  <si>
    <t xml:space="preserve">   CAJA Y BANCOS </t>
  </si>
  <si>
    <t xml:space="preserve">RETIRO DE CAPITAL DEL SOCIO LÓPEZ </t>
  </si>
  <si>
    <t xml:space="preserve">CAJA CHICHA </t>
  </si>
  <si>
    <t xml:space="preserve">     CAJA Y BANCOS </t>
  </si>
  <si>
    <t xml:space="preserve">CREAR LA CAJA CHICA </t>
  </si>
  <si>
    <t>31/05/20233</t>
  </si>
  <si>
    <t xml:space="preserve">COMBUSTIBLES Y LIBRICANTES </t>
  </si>
  <si>
    <t xml:space="preserve">AGUA, LUZ Y TELEFONO </t>
  </si>
  <si>
    <t xml:space="preserve">PROPAGANDA Y PUBLICIDAD </t>
  </si>
  <si>
    <t xml:space="preserve">PAPELERIA Y UTILIES </t>
  </si>
  <si>
    <t xml:space="preserve">  CAJA Y BANCOS </t>
  </si>
  <si>
    <t xml:space="preserve">AQUILERES GASTO </t>
  </si>
  <si>
    <t xml:space="preserve">MANTENIMIENTO DE VEHICULOS </t>
  </si>
  <si>
    <t>CAJA Y BANCOS</t>
  </si>
  <si>
    <t xml:space="preserve">   CAJA CHICHA</t>
  </si>
  <si>
    <t xml:space="preserve">PARA LIQUIDAR LA CAJA CHICA  DE FIN DE AÑO </t>
  </si>
  <si>
    <t>DEV. Y REB. SOBRE COMPRAS</t>
  </si>
  <si>
    <t>IVA</t>
  </si>
  <si>
    <t xml:space="preserve">para registrar la devocuion  e mercaderia </t>
  </si>
  <si>
    <t xml:space="preserve">Compras </t>
  </si>
  <si>
    <t xml:space="preserve">CAJA Y BANACOS </t>
  </si>
  <si>
    <t xml:space="preserve">PROVEEDORES </t>
  </si>
  <si>
    <t>DEV. DE MERCADERIA COMPRADA AL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</si>
</sst>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4" fontId="0" fillId="0" borderId="3" xfId="1" applyFont="1" applyBorder="1"/>
    <xf numFmtId="44" fontId="0" fillId="0" borderId="4" xfId="1" applyFont="1" applyBorder="1"/>
    <xf numFmtId="44" fontId="0" fillId="0" borderId="1" xfId="1" applyFont="1" applyBorder="1"/>
    <xf numFmtId="14" fontId="2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1" xfId="0" applyNumberFormat="1" applyBorder="1"/>
    <xf numFmtId="0" fontId="2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44" fontId="1" fillId="0" borderId="3" xfId="1" applyFont="1" applyBorder="1"/>
    <xf numFmtId="14" fontId="0" fillId="0" borderId="3" xfId="0" applyNumberFormat="1" applyFont="1" applyBorder="1" applyAlignment="1">
      <alignment horizontal="center"/>
    </xf>
    <xf numFmtId="44" fontId="0" fillId="0" borderId="0" xfId="1" applyFont="1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44" fontId="0" fillId="0" borderId="5" xfId="0" applyNumberFormat="1" applyBorder="1"/>
    <xf numFmtId="0" fontId="3" fillId="0" borderId="0" xfId="0" applyFont="1"/>
    <xf numFmtId="14" fontId="2" fillId="0" borderId="3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F4DB-6C05-4FEB-825B-022BCC40B2BD}">
  <dimension ref="A1:E123"/>
  <sheetViews>
    <sheetView tabSelected="1" topLeftCell="A42" zoomScale="71" zoomScaleNormal="71" workbookViewId="0">
      <selection activeCell="B48" sqref="B48"/>
    </sheetView>
  </sheetViews>
  <sheetFormatPr baseColWidth="10" defaultRowHeight="15" x14ac:dyDescent="0.25"/>
  <cols>
    <col min="1" max="1" width="4.85546875" customWidth="1"/>
    <col min="2" max="2" width="55.7109375" customWidth="1"/>
    <col min="3" max="3" width="14.85546875" customWidth="1"/>
    <col min="4" max="4" width="15.5703125" customWidth="1"/>
  </cols>
  <sheetData>
    <row r="1" spans="1:4" x14ac:dyDescent="0.25">
      <c r="A1" s="9">
        <v>7</v>
      </c>
      <c r="B1" s="18" t="s">
        <v>0</v>
      </c>
      <c r="C1" s="2"/>
      <c r="D1" s="2"/>
    </row>
    <row r="2" spans="1:4" x14ac:dyDescent="0.25">
      <c r="A2" s="10"/>
      <c r="B2" s="3" t="s">
        <v>1</v>
      </c>
      <c r="C2" s="5">
        <v>8000</v>
      </c>
      <c r="D2" s="5"/>
    </row>
    <row r="3" spans="1:4" x14ac:dyDescent="0.25">
      <c r="A3" s="10"/>
      <c r="B3" s="3" t="s">
        <v>2</v>
      </c>
      <c r="C3" s="5">
        <v>3000</v>
      </c>
      <c r="D3" s="5"/>
    </row>
    <row r="4" spans="1:4" x14ac:dyDescent="0.25">
      <c r="A4" s="10"/>
      <c r="B4" s="3" t="s">
        <v>3</v>
      </c>
      <c r="C4" s="5">
        <f>C2*12.67%</f>
        <v>1013.6</v>
      </c>
      <c r="D4" s="5"/>
    </row>
    <row r="5" spans="1:4" x14ac:dyDescent="0.25">
      <c r="A5" s="10"/>
      <c r="B5" s="3" t="s">
        <v>4</v>
      </c>
      <c r="C5" s="5">
        <f>C3*12.67%</f>
        <v>380.1</v>
      </c>
      <c r="D5" s="5"/>
    </row>
    <row r="6" spans="1:4" x14ac:dyDescent="0.25">
      <c r="A6" s="10"/>
      <c r="B6" s="3" t="s">
        <v>5</v>
      </c>
      <c r="C6" s="5">
        <f>C2*30.55%</f>
        <v>2444</v>
      </c>
      <c r="D6" s="5"/>
    </row>
    <row r="7" spans="1:4" x14ac:dyDescent="0.25">
      <c r="A7" s="10"/>
      <c r="B7" s="3" t="s">
        <v>6</v>
      </c>
      <c r="C7" s="5">
        <f>C3*30.55%</f>
        <v>916.5</v>
      </c>
      <c r="D7" s="5"/>
    </row>
    <row r="8" spans="1:4" x14ac:dyDescent="0.25">
      <c r="A8" s="10"/>
      <c r="B8" s="3" t="s">
        <v>7</v>
      </c>
      <c r="C8" s="5">
        <f>250*2</f>
        <v>500</v>
      </c>
      <c r="D8" s="5"/>
    </row>
    <row r="9" spans="1:4" x14ac:dyDescent="0.25">
      <c r="A9" s="10"/>
      <c r="B9" s="3" t="s">
        <v>8</v>
      </c>
      <c r="C9" s="5">
        <v>250</v>
      </c>
      <c r="D9" s="5"/>
    </row>
    <row r="10" spans="1:4" x14ac:dyDescent="0.25">
      <c r="A10" s="10"/>
      <c r="B10" s="19" t="s">
        <v>11</v>
      </c>
      <c r="C10" s="5"/>
      <c r="D10" s="5">
        <f>11000*4.83%</f>
        <v>531.30000000000007</v>
      </c>
    </row>
    <row r="11" spans="1:4" x14ac:dyDescent="0.25">
      <c r="A11" s="10"/>
      <c r="B11" s="19" t="s">
        <v>12</v>
      </c>
      <c r="C11" s="5"/>
      <c r="D11" s="5">
        <f>C4+C5</f>
        <v>1393.7</v>
      </c>
    </row>
    <row r="12" spans="1:4" x14ac:dyDescent="0.25">
      <c r="A12" s="10"/>
      <c r="B12" s="19" t="s">
        <v>13</v>
      </c>
      <c r="C12" s="5"/>
      <c r="D12" s="5">
        <f>C6+C7</f>
        <v>3360.5</v>
      </c>
    </row>
    <row r="13" spans="1:4" x14ac:dyDescent="0.25">
      <c r="A13" s="10"/>
      <c r="B13" s="19" t="s">
        <v>14</v>
      </c>
      <c r="C13" s="5"/>
      <c r="D13" s="5">
        <f>C14-D10-D11-D12</f>
        <v>11218.7</v>
      </c>
    </row>
    <row r="14" spans="1:4" x14ac:dyDescent="0.25">
      <c r="A14" s="10"/>
      <c r="B14" s="19" t="s">
        <v>10</v>
      </c>
      <c r="C14" s="11">
        <f>SUM(C2:C13)</f>
        <v>16504.2</v>
      </c>
      <c r="D14" s="7">
        <f>SUM(D10:D13)</f>
        <v>16504.2</v>
      </c>
    </row>
    <row r="15" spans="1:4" x14ac:dyDescent="0.25">
      <c r="A15" s="10">
        <v>8</v>
      </c>
      <c r="B15" s="8">
        <v>45726</v>
      </c>
      <c r="C15" s="3"/>
      <c r="D15" s="3"/>
    </row>
    <row r="16" spans="1:4" x14ac:dyDescent="0.25">
      <c r="A16" s="10"/>
      <c r="B16" s="3" t="s">
        <v>15</v>
      </c>
      <c r="C16" s="5">
        <v>80000</v>
      </c>
      <c r="D16" s="5"/>
    </row>
    <row r="17" spans="1:4" x14ac:dyDescent="0.25">
      <c r="A17" s="10"/>
      <c r="B17" s="3" t="s">
        <v>16</v>
      </c>
      <c r="C17" s="5"/>
      <c r="D17" s="5">
        <v>80000</v>
      </c>
    </row>
    <row r="18" spans="1:4" x14ac:dyDescent="0.25">
      <c r="A18" s="10"/>
      <c r="B18" s="3" t="s">
        <v>17</v>
      </c>
      <c r="C18" s="7">
        <f>SUM(C16:C17)</f>
        <v>80000</v>
      </c>
      <c r="D18" s="7">
        <f>SUM(D17)</f>
        <v>80000</v>
      </c>
    </row>
    <row r="19" spans="1:4" x14ac:dyDescent="0.25">
      <c r="A19" s="13">
        <v>9</v>
      </c>
      <c r="B19" s="16">
        <v>45726</v>
      </c>
      <c r="C19" s="15"/>
      <c r="D19" s="15"/>
    </row>
    <row r="20" spans="1:4" x14ac:dyDescent="0.25">
      <c r="A20" s="13"/>
      <c r="B20" s="14" t="s">
        <v>18</v>
      </c>
      <c r="C20" s="15">
        <v>2000</v>
      </c>
      <c r="D20" s="15"/>
    </row>
    <row r="21" spans="1:4" x14ac:dyDescent="0.25">
      <c r="A21" s="10"/>
      <c r="B21" s="3" t="s">
        <v>19</v>
      </c>
      <c r="C21" s="5"/>
      <c r="D21" s="5">
        <v>2000</v>
      </c>
    </row>
    <row r="22" spans="1:4" x14ac:dyDescent="0.25">
      <c r="A22" s="10"/>
      <c r="B22" s="3" t="s">
        <v>20</v>
      </c>
      <c r="C22" s="7">
        <f>SUM(C20:C21)</f>
        <v>2000</v>
      </c>
      <c r="D22" s="7">
        <f>SUM(D21)</f>
        <v>2000</v>
      </c>
    </row>
    <row r="23" spans="1:4" x14ac:dyDescent="0.25">
      <c r="A23" s="10">
        <v>10</v>
      </c>
      <c r="B23" s="12" t="s">
        <v>21</v>
      </c>
      <c r="C23" s="5"/>
      <c r="D23" s="5"/>
    </row>
    <row r="24" spans="1:4" x14ac:dyDescent="0.25">
      <c r="A24" s="10"/>
      <c r="B24" s="3" t="s">
        <v>22</v>
      </c>
      <c r="C24" s="5">
        <v>500</v>
      </c>
      <c r="D24" s="5"/>
    </row>
    <row r="25" spans="1:4" x14ac:dyDescent="0.25">
      <c r="A25" s="10"/>
      <c r="B25" s="3" t="s">
        <v>23</v>
      </c>
      <c r="C25" s="5">
        <v>250</v>
      </c>
      <c r="D25" s="5"/>
    </row>
    <row r="26" spans="1:4" x14ac:dyDescent="0.25">
      <c r="A26" s="10"/>
      <c r="B26" s="3" t="s">
        <v>24</v>
      </c>
      <c r="C26" s="5">
        <v>175</v>
      </c>
      <c r="D26" s="5"/>
    </row>
    <row r="27" spans="1:4" x14ac:dyDescent="0.25">
      <c r="A27" s="10"/>
      <c r="B27" s="3" t="s">
        <v>25</v>
      </c>
      <c r="C27" s="5">
        <v>100</v>
      </c>
      <c r="D27" s="5"/>
    </row>
    <row r="28" spans="1:4" x14ac:dyDescent="0.25">
      <c r="A28" s="10"/>
      <c r="B28" s="3" t="s">
        <v>26</v>
      </c>
      <c r="C28" s="5"/>
      <c r="D28" s="5">
        <v>1025</v>
      </c>
    </row>
    <row r="29" spans="1:4" x14ac:dyDescent="0.25">
      <c r="A29" s="10"/>
      <c r="B29" s="3"/>
      <c r="C29" s="7">
        <f>SUM(C24:C28)</f>
        <v>1025</v>
      </c>
      <c r="D29" s="7">
        <f>SUM(D28)</f>
        <v>1025</v>
      </c>
    </row>
    <row r="30" spans="1:4" x14ac:dyDescent="0.25">
      <c r="A30" s="10">
        <v>11</v>
      </c>
      <c r="B30" s="22">
        <v>45291</v>
      </c>
      <c r="C30" s="5"/>
      <c r="D30" s="5"/>
    </row>
    <row r="31" spans="1:4" x14ac:dyDescent="0.25">
      <c r="A31" s="10"/>
      <c r="B31" s="3" t="s">
        <v>27</v>
      </c>
      <c r="C31" s="5">
        <v>400</v>
      </c>
      <c r="D31" s="5"/>
    </row>
    <row r="32" spans="1:4" x14ac:dyDescent="0.25">
      <c r="A32" s="10"/>
      <c r="B32" s="3" t="s">
        <v>28</v>
      </c>
      <c r="C32" s="5">
        <v>800</v>
      </c>
      <c r="D32" s="5"/>
    </row>
    <row r="33" spans="1:5" x14ac:dyDescent="0.25">
      <c r="A33" s="10"/>
      <c r="B33" s="3" t="s">
        <v>15</v>
      </c>
      <c r="C33" s="5">
        <v>525</v>
      </c>
      <c r="D33" s="5"/>
    </row>
    <row r="34" spans="1:5" x14ac:dyDescent="0.25">
      <c r="A34" s="10"/>
      <c r="B34" s="3" t="s">
        <v>29</v>
      </c>
      <c r="C34" s="5">
        <v>275</v>
      </c>
      <c r="D34" s="5"/>
    </row>
    <row r="35" spans="1:5" x14ac:dyDescent="0.25">
      <c r="A35" s="10"/>
      <c r="B35" s="3" t="s">
        <v>30</v>
      </c>
      <c r="C35" s="5"/>
      <c r="D35" s="5">
        <v>2000</v>
      </c>
    </row>
    <row r="36" spans="1:5" x14ac:dyDescent="0.25">
      <c r="A36" s="10"/>
      <c r="B36" s="3" t="s">
        <v>31</v>
      </c>
      <c r="C36" s="7">
        <f>SUM(C31:C35)</f>
        <v>2000</v>
      </c>
      <c r="D36" s="7">
        <f>SUM(D35)</f>
        <v>2000</v>
      </c>
    </row>
    <row r="37" spans="1:5" x14ac:dyDescent="0.25">
      <c r="A37" s="10">
        <v>12</v>
      </c>
      <c r="B37" s="8">
        <v>44972</v>
      </c>
      <c r="C37" s="5"/>
      <c r="D37" s="5"/>
    </row>
    <row r="38" spans="1:5" ht="15.75" x14ac:dyDescent="0.25">
      <c r="A38" s="10"/>
      <c r="B38" s="3" t="s">
        <v>9</v>
      </c>
      <c r="C38" s="5">
        <v>1000</v>
      </c>
      <c r="D38" s="5"/>
      <c r="E38" s="21" t="s">
        <v>35</v>
      </c>
    </row>
    <row r="39" spans="1:5" x14ac:dyDescent="0.25">
      <c r="A39" s="10"/>
      <c r="B39" s="3" t="s">
        <v>32</v>
      </c>
      <c r="C39" s="5"/>
      <c r="D39" s="5">
        <v>892.86</v>
      </c>
      <c r="E39" t="s">
        <v>33</v>
      </c>
    </row>
    <row r="40" spans="1:5" x14ac:dyDescent="0.25">
      <c r="A40" s="10"/>
      <c r="B40" s="3" t="s">
        <v>33</v>
      </c>
      <c r="C40" s="5"/>
      <c r="D40" s="5">
        <v>107.14</v>
      </c>
      <c r="E40" t="s">
        <v>36</v>
      </c>
    </row>
    <row r="41" spans="1:5" x14ac:dyDescent="0.25">
      <c r="A41" s="10"/>
      <c r="B41" s="3" t="s">
        <v>34</v>
      </c>
      <c r="C41" s="20">
        <f>SUM(C38:C40)</f>
        <v>1000</v>
      </c>
      <c r="D41" s="7">
        <f>SUM(D39:D40)</f>
        <v>1000</v>
      </c>
    </row>
    <row r="42" spans="1:5" x14ac:dyDescent="0.25">
      <c r="A42" s="10">
        <v>13</v>
      </c>
      <c r="B42" s="8">
        <v>45007</v>
      </c>
      <c r="C42" s="5"/>
      <c r="D42" s="5"/>
    </row>
    <row r="43" spans="1:5" x14ac:dyDescent="0.25">
      <c r="A43" s="10"/>
      <c r="B43" s="3" t="s">
        <v>37</v>
      </c>
      <c r="C43" s="5">
        <v>1785.71</v>
      </c>
      <c r="D43" s="5"/>
    </row>
    <row r="44" spans="1:5" x14ac:dyDescent="0.25">
      <c r="A44" s="3"/>
      <c r="B44" s="3" t="s">
        <v>9</v>
      </c>
      <c r="C44" s="5">
        <v>214.29</v>
      </c>
      <c r="D44" s="5"/>
    </row>
    <row r="45" spans="1:5" x14ac:dyDescent="0.25">
      <c r="A45" s="3"/>
      <c r="B45" s="3" t="s">
        <v>32</v>
      </c>
      <c r="C45" s="5"/>
      <c r="D45" s="5">
        <v>1785.71</v>
      </c>
    </row>
    <row r="46" spans="1:5" x14ac:dyDescent="0.25">
      <c r="A46" s="3"/>
      <c r="B46" s="3" t="s">
        <v>33</v>
      </c>
      <c r="C46" s="5"/>
      <c r="D46" s="5">
        <v>214.29</v>
      </c>
    </row>
    <row r="47" spans="1:5" x14ac:dyDescent="0.25">
      <c r="A47" s="3"/>
      <c r="B47" s="3" t="s">
        <v>38</v>
      </c>
      <c r="C47" s="7">
        <f>SUM(C43:C46)</f>
        <v>2000</v>
      </c>
      <c r="D47" s="7">
        <f>SUM(D45:D46)</f>
        <v>2000</v>
      </c>
    </row>
    <row r="48" spans="1:5" x14ac:dyDescent="0.25">
      <c r="A48" s="3"/>
      <c r="B48" s="8">
        <v>44989</v>
      </c>
      <c r="C48" s="5"/>
      <c r="D48" s="5"/>
    </row>
    <row r="49" spans="1:4" x14ac:dyDescent="0.25">
      <c r="A49" s="3"/>
      <c r="B49" s="3"/>
      <c r="C49" s="5"/>
      <c r="D49" s="5"/>
    </row>
    <row r="50" spans="1:4" x14ac:dyDescent="0.25">
      <c r="A50" s="3"/>
      <c r="B50" s="3"/>
      <c r="C50" s="5"/>
      <c r="D50" s="5"/>
    </row>
    <row r="51" spans="1:4" x14ac:dyDescent="0.25">
      <c r="A51" s="3"/>
      <c r="B51" s="3"/>
      <c r="C51" s="5"/>
      <c r="D51" s="5"/>
    </row>
    <row r="52" spans="1:4" x14ac:dyDescent="0.25">
      <c r="A52" s="3"/>
      <c r="B52" s="3"/>
      <c r="C52" s="5"/>
      <c r="D52" s="5"/>
    </row>
    <row r="53" spans="1:4" x14ac:dyDescent="0.25">
      <c r="A53" s="3"/>
      <c r="B53" s="3"/>
      <c r="C53" s="5"/>
      <c r="D53" s="5"/>
    </row>
    <row r="54" spans="1:4" x14ac:dyDescent="0.25">
      <c r="A54" s="3"/>
      <c r="B54" s="3"/>
      <c r="C54" s="5"/>
      <c r="D54" s="5"/>
    </row>
    <row r="55" spans="1:4" x14ac:dyDescent="0.25">
      <c r="A55" s="3"/>
      <c r="B55" s="3"/>
      <c r="C55" s="5"/>
      <c r="D55" s="5"/>
    </row>
    <row r="56" spans="1:4" x14ac:dyDescent="0.25">
      <c r="A56" s="3"/>
      <c r="B56" s="3"/>
      <c r="C56" s="5"/>
      <c r="D56" s="5"/>
    </row>
    <row r="57" spans="1:4" x14ac:dyDescent="0.25">
      <c r="A57" s="3"/>
      <c r="B57" s="3"/>
      <c r="C57" s="5"/>
      <c r="D57" s="5"/>
    </row>
    <row r="58" spans="1:4" x14ac:dyDescent="0.25">
      <c r="A58" s="3"/>
      <c r="B58" s="3"/>
      <c r="C58" s="5"/>
      <c r="D58" s="5"/>
    </row>
    <row r="59" spans="1:4" x14ac:dyDescent="0.25">
      <c r="A59" s="3"/>
      <c r="B59" s="3"/>
      <c r="C59" s="5"/>
      <c r="D59" s="5"/>
    </row>
    <row r="60" spans="1:4" x14ac:dyDescent="0.25">
      <c r="A60" s="3"/>
      <c r="B60" s="3"/>
      <c r="C60" s="5"/>
      <c r="D60" s="5"/>
    </row>
    <row r="61" spans="1:4" x14ac:dyDescent="0.25">
      <c r="A61" s="3"/>
      <c r="B61" s="3"/>
      <c r="C61" s="5"/>
      <c r="D61" s="5"/>
    </row>
    <row r="62" spans="1:4" x14ac:dyDescent="0.25">
      <c r="A62" s="3"/>
      <c r="B62" s="3"/>
      <c r="C62" s="5"/>
      <c r="D62" s="5"/>
    </row>
    <row r="63" spans="1:4" x14ac:dyDescent="0.25">
      <c r="A63" s="3"/>
      <c r="B63" s="3"/>
      <c r="C63" s="5"/>
      <c r="D63" s="5"/>
    </row>
    <row r="64" spans="1:4" x14ac:dyDescent="0.25">
      <c r="A64" s="3"/>
      <c r="B64" s="3"/>
      <c r="C64" s="5"/>
      <c r="D64" s="5"/>
    </row>
    <row r="65" spans="1:4" x14ac:dyDescent="0.25">
      <c r="A65" s="3"/>
      <c r="B65" s="3"/>
      <c r="C65" s="5"/>
      <c r="D65" s="5"/>
    </row>
    <row r="66" spans="1:4" x14ac:dyDescent="0.25">
      <c r="A66" s="3"/>
      <c r="B66" s="3"/>
      <c r="C66" s="5"/>
      <c r="D66" s="5"/>
    </row>
    <row r="67" spans="1:4" x14ac:dyDescent="0.25">
      <c r="A67" s="3"/>
      <c r="B67" s="3"/>
      <c r="C67" s="5"/>
      <c r="D67" s="5"/>
    </row>
    <row r="68" spans="1:4" x14ac:dyDescent="0.25">
      <c r="A68" s="3"/>
      <c r="B68" s="3"/>
      <c r="C68" s="5"/>
      <c r="D68" s="5"/>
    </row>
    <row r="69" spans="1:4" x14ac:dyDescent="0.25">
      <c r="A69" s="3"/>
      <c r="B69" s="3"/>
      <c r="C69" s="5"/>
      <c r="D69" s="5"/>
    </row>
    <row r="70" spans="1:4" x14ac:dyDescent="0.25">
      <c r="A70" s="3"/>
      <c r="B70" s="3"/>
      <c r="C70" s="5"/>
      <c r="D70" s="5"/>
    </row>
    <row r="71" spans="1:4" x14ac:dyDescent="0.25">
      <c r="A71" s="3"/>
      <c r="B71" s="3"/>
      <c r="C71" s="5"/>
      <c r="D71" s="5"/>
    </row>
    <row r="72" spans="1:4" x14ac:dyDescent="0.25">
      <c r="A72" s="3"/>
      <c r="B72" s="3"/>
      <c r="C72" s="5"/>
      <c r="D72" s="5"/>
    </row>
    <row r="73" spans="1:4" x14ac:dyDescent="0.25">
      <c r="A73" s="3"/>
      <c r="B73" s="3"/>
      <c r="C73" s="5"/>
      <c r="D73" s="5"/>
    </row>
    <row r="74" spans="1:4" x14ac:dyDescent="0.25">
      <c r="A74" s="3"/>
      <c r="B74" s="3"/>
      <c r="C74" s="5"/>
      <c r="D74" s="5"/>
    </row>
    <row r="75" spans="1:4" x14ac:dyDescent="0.25">
      <c r="A75" s="3"/>
      <c r="B75" s="3"/>
      <c r="C75" s="5"/>
      <c r="D75" s="5"/>
    </row>
    <row r="76" spans="1:4" x14ac:dyDescent="0.25">
      <c r="A76" s="3"/>
      <c r="B76" s="3"/>
      <c r="C76" s="5"/>
      <c r="D76" s="5"/>
    </row>
    <row r="77" spans="1:4" x14ac:dyDescent="0.25">
      <c r="A77" s="3"/>
      <c r="B77" s="3"/>
      <c r="C77" s="5"/>
      <c r="D77" s="5"/>
    </row>
    <row r="78" spans="1:4" x14ac:dyDescent="0.25">
      <c r="A78" s="3"/>
      <c r="B78" s="3"/>
      <c r="C78" s="5"/>
      <c r="D78" s="5"/>
    </row>
    <row r="79" spans="1:4" x14ac:dyDescent="0.25">
      <c r="A79" s="3"/>
      <c r="B79" s="3"/>
      <c r="C79" s="5"/>
      <c r="D79" s="5"/>
    </row>
    <row r="80" spans="1:4" x14ac:dyDescent="0.25">
      <c r="A80" s="3"/>
      <c r="B80" s="3"/>
      <c r="C80" s="5"/>
      <c r="D80" s="5"/>
    </row>
    <row r="81" spans="1:4" x14ac:dyDescent="0.25">
      <c r="A81" s="3"/>
      <c r="B81" s="3"/>
      <c r="C81" s="5"/>
      <c r="D81" s="5"/>
    </row>
    <row r="82" spans="1:4" x14ac:dyDescent="0.25">
      <c r="A82" s="3"/>
      <c r="B82" s="3"/>
      <c r="C82" s="5"/>
      <c r="D82" s="5"/>
    </row>
    <row r="83" spans="1:4" x14ac:dyDescent="0.25">
      <c r="A83" s="3"/>
      <c r="B83" s="3"/>
      <c r="C83" s="5"/>
      <c r="D83" s="5"/>
    </row>
    <row r="84" spans="1:4" x14ac:dyDescent="0.25">
      <c r="A84" s="3"/>
      <c r="B84" s="3"/>
      <c r="C84" s="5"/>
      <c r="D84" s="5"/>
    </row>
    <row r="85" spans="1:4" x14ac:dyDescent="0.25">
      <c r="A85" s="3"/>
      <c r="B85" s="3"/>
      <c r="C85" s="5"/>
      <c r="D85" s="5"/>
    </row>
    <row r="86" spans="1:4" x14ac:dyDescent="0.25">
      <c r="A86" s="3"/>
      <c r="B86" s="3"/>
      <c r="C86" s="5"/>
      <c r="D86" s="5"/>
    </row>
    <row r="87" spans="1:4" x14ac:dyDescent="0.25">
      <c r="A87" s="3"/>
      <c r="B87" s="3"/>
      <c r="C87" s="5"/>
      <c r="D87" s="5"/>
    </row>
    <row r="88" spans="1:4" x14ac:dyDescent="0.25">
      <c r="A88" s="3"/>
      <c r="B88" s="3"/>
      <c r="C88" s="5"/>
      <c r="D88" s="5"/>
    </row>
    <row r="89" spans="1:4" x14ac:dyDescent="0.25">
      <c r="A89" s="4"/>
      <c r="B89" s="4"/>
      <c r="C89" s="6"/>
      <c r="D89" s="6"/>
    </row>
    <row r="90" spans="1:4" x14ac:dyDescent="0.25">
      <c r="A90" s="1"/>
      <c r="B90" s="1"/>
      <c r="C90" s="17"/>
      <c r="D90" s="17"/>
    </row>
    <row r="91" spans="1:4" x14ac:dyDescent="0.25">
      <c r="A91" s="1"/>
      <c r="B91" s="1"/>
      <c r="C91" s="17"/>
      <c r="D91" s="17"/>
    </row>
    <row r="92" spans="1:4" x14ac:dyDescent="0.25">
      <c r="A92" s="1"/>
      <c r="B92" s="1"/>
      <c r="C92" s="17"/>
      <c r="D92" s="17"/>
    </row>
    <row r="93" spans="1:4" x14ac:dyDescent="0.25">
      <c r="A93" s="1"/>
      <c r="B93" s="1"/>
      <c r="C93" s="17"/>
      <c r="D93" s="17"/>
    </row>
    <row r="94" spans="1:4" x14ac:dyDescent="0.25">
      <c r="A94" s="1"/>
      <c r="B94" s="1"/>
      <c r="C94" s="17"/>
      <c r="D94" s="17"/>
    </row>
    <row r="95" spans="1:4" x14ac:dyDescent="0.25">
      <c r="A95" s="1"/>
      <c r="B95" s="1"/>
      <c r="C95" s="17"/>
      <c r="D95" s="17"/>
    </row>
    <row r="96" spans="1:4" x14ac:dyDescent="0.25">
      <c r="A96" s="1"/>
      <c r="B96" s="1"/>
      <c r="C96" s="17"/>
      <c r="D96" s="17"/>
    </row>
    <row r="97" spans="1:4" x14ac:dyDescent="0.25">
      <c r="A97" s="1"/>
      <c r="B97" s="1"/>
      <c r="C97" s="17"/>
      <c r="D97" s="17"/>
    </row>
    <row r="98" spans="1:4" x14ac:dyDescent="0.25">
      <c r="A98" s="1"/>
      <c r="B98" s="1"/>
      <c r="C98" s="17"/>
      <c r="D98" s="17"/>
    </row>
    <row r="99" spans="1:4" x14ac:dyDescent="0.25">
      <c r="A99" s="1"/>
      <c r="B99" s="1"/>
      <c r="C99" s="17"/>
      <c r="D99" s="17"/>
    </row>
    <row r="100" spans="1:4" x14ac:dyDescent="0.25">
      <c r="A100" s="1"/>
      <c r="B100" s="1"/>
      <c r="C100" s="17"/>
      <c r="D100" s="17"/>
    </row>
    <row r="101" spans="1:4" x14ac:dyDescent="0.25">
      <c r="A101" s="1"/>
      <c r="B101" s="1"/>
      <c r="C101" s="17"/>
      <c r="D101" s="17"/>
    </row>
    <row r="102" spans="1:4" x14ac:dyDescent="0.25">
      <c r="A102" s="1"/>
      <c r="B102" s="1"/>
      <c r="C102" s="17"/>
      <c r="D102" s="17"/>
    </row>
    <row r="103" spans="1:4" x14ac:dyDescent="0.25">
      <c r="A103" s="1"/>
      <c r="B103" s="1"/>
      <c r="C103" s="17"/>
      <c r="D103" s="17"/>
    </row>
    <row r="104" spans="1:4" x14ac:dyDescent="0.25">
      <c r="A104" s="1"/>
      <c r="B104" s="1"/>
      <c r="C104" s="17"/>
      <c r="D104" s="17"/>
    </row>
    <row r="105" spans="1:4" x14ac:dyDescent="0.25">
      <c r="A105" s="1"/>
      <c r="B105" s="1"/>
      <c r="C105" s="17"/>
      <c r="D105" s="17"/>
    </row>
    <row r="106" spans="1:4" x14ac:dyDescent="0.25">
      <c r="A106" s="1"/>
      <c r="B106" s="1"/>
      <c r="C106" s="17"/>
      <c r="D106" s="17"/>
    </row>
    <row r="107" spans="1:4" x14ac:dyDescent="0.25">
      <c r="A107" s="1"/>
      <c r="B107" s="1"/>
      <c r="C107" s="17"/>
      <c r="D107" s="17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2025-03-22T15:48:01Z</dcterms:created>
  <dcterms:modified xsi:type="dcterms:W3CDTF">2025-03-25T04:10:01Z</dcterms:modified>
</cp:coreProperties>
</file>